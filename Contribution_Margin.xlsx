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2"/>
  </bookViews>
  <sheets>
    <sheet name="Contribution_Margin" sheetId="1" r:id="rId1"/>
    <sheet name="Sheet2" sheetId="2" r:id="rId2"/>
    <sheet name="Contribution_delta" sheetId="3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C7" i="3" l="1"/>
  <c r="B8" i="3" s="1"/>
  <c r="C6" i="3"/>
  <c r="B6" i="3"/>
  <c r="C4" i="3"/>
  <c r="B4" i="3"/>
  <c r="B7" i="3" s="1"/>
  <c r="C36" i="1"/>
  <c r="G35" i="1"/>
  <c r="G36" i="1" s="1"/>
  <c r="C35" i="1"/>
  <c r="C34" i="1"/>
  <c r="I33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<sst xmlns="http://schemas.openxmlformats.org/spreadsheetml/2006/main" count="79" uniqueCount="62">
  <si>
    <t>Contribution Margin (%)</t>
  </si>
  <si>
    <t>Sprints</t>
  </si>
  <si>
    <t>Cost of Sprints per squad</t>
  </si>
  <si>
    <t>Total cost of Sprints for 2 squads</t>
  </si>
  <si>
    <t>Resource Type</t>
  </si>
  <si>
    <t>Squad 1</t>
  </si>
  <si>
    <t>Squad 2</t>
  </si>
  <si>
    <t>Total Head Count</t>
  </si>
  <si>
    <t>Scrum Master</t>
  </si>
  <si>
    <t>Tech Lead</t>
  </si>
  <si>
    <t>Sr. Developer Java</t>
  </si>
  <si>
    <t>Developer - Java</t>
  </si>
  <si>
    <t>Automation Tester</t>
  </si>
  <si>
    <t>DevOps Engineer</t>
  </si>
  <si>
    <t>Non Billable junior investment</t>
  </si>
  <si>
    <t>Virtusa Engagement Manager</t>
  </si>
  <si>
    <t>Role</t>
  </si>
  <si>
    <t>Estimated Monthly Salary (INR)</t>
  </si>
  <si>
    <t>Approx USD ($1 = ₹83)</t>
  </si>
  <si>
    <t>₹180,000</t>
  </si>
  <si>
    <t>₹200,000</t>
  </si>
  <si>
    <t>₹150,000</t>
  </si>
  <si>
    <t>₹100,000</t>
  </si>
  <si>
    <t>₹120,000</t>
  </si>
  <si>
    <t>Non-Billable Junior (Fresher)</t>
  </si>
  <si>
    <t>₹40,000</t>
  </si>
  <si>
    <t>Engagement Manager</t>
  </si>
  <si>
    <t>₹250,000</t>
  </si>
  <si>
    <t>Sprint Cost per Resource (USD)</t>
  </si>
  <si>
    <t>No. of People</t>
  </si>
  <si>
    <t>Total Sprint Cost</t>
  </si>
  <si>
    <t>Non-Billable Junior</t>
  </si>
  <si>
    <t>Contribution Margin </t>
  </si>
  <si>
    <t>Resource Name</t>
  </si>
  <si>
    <t>Billing Rate (per hour)</t>
  </si>
  <si>
    <t>Cost to Company (per hour)</t>
  </si>
  <si>
    <t>Planned Hours</t>
  </si>
  <si>
    <t>Actual Hours Worked</t>
  </si>
  <si>
    <t>Planned Revenue</t>
  </si>
  <si>
    <t>Actual Revenue</t>
  </si>
  <si>
    <t>Actual Cost</t>
  </si>
  <si>
    <t>Contribution Margin ($)</t>
  </si>
  <si>
    <t>Contribution Margin (%)</t>
  </si>
  <si>
    <t>Alice</t>
  </si>
  <si>
    <t>Developer</t>
  </si>
  <si>
    <t>Bob</t>
  </si>
  <si>
    <t>Tester</t>
  </si>
  <si>
    <t>Charlie</t>
  </si>
  <si>
    <t>David</t>
  </si>
  <si>
    <t>Lead</t>
  </si>
  <si>
    <t>Eva</t>
  </si>
  <si>
    <t>Support</t>
  </si>
  <si>
    <t>Item</t>
  </si>
  <si>
    <t>No. of Sprints</t>
  </si>
  <si>
    <t>Before Scope Change</t>
  </si>
  <si>
    <t>After Scope Change</t>
  </si>
  <si>
    <t>Revenue per Sprint</t>
  </si>
  <si>
    <t>Total Revenue</t>
  </si>
  <si>
    <t>Cost per Sprint</t>
  </si>
  <si>
    <t>Total Cost</t>
  </si>
  <si>
    <t xml:space="preserve">Contribution Margin (Revenue - Cost) </t>
  </si>
  <si>
    <t>Contribution Margin 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</si>
</sst>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6" formatCode="&quot;$&quot;#,##0_);[Red]\(&quot;$&quot;#,##0\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6" fontId="0" fillId="0" borderId="1" xfId="0" applyNumberFormat="1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6" fontId="0" fillId="0" borderId="1" xfId="0" applyNumberForma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6" fontId="0" fillId="0" borderId="1" xfId="0" applyNumberFormat="1" applyBorder="1" applyAlignment="1">
      <alignment horizontal="left" vertical="center" wrapText="1"/>
    </xf>
    <xf numFmtId="6" fontId="0" fillId="0" borderId="0" xfId="0" applyNumberFormat="1"/>
    <xf numFmtId="0" fontId="1" fillId="0" borderId="1" xfId="0" applyFont="1" applyBorder="1"/>
    <xf numFmtId="6" fontId="2" fillId="0" borderId="1" xfId="0" applyNumberFormat="1" applyFont="1" applyBorder="1"/>
    <xf numFmtId="0" fontId="2" fillId="0" borderId="1" xfId="0" applyFont="1" applyBorder="1"/>
    <xf numFmtId="0" fontId="3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Contribution Margin by Resource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[1]Sheet1!$J$1</c:f>
              <c:strCache>
                <c:ptCount val="1"/>
                <c:pt idx="0">
                  <c:v>Contribution Margin ($)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[1]Sheet1!$A$2:$A$6</c:f>
              <c:strCache>
                <c:ptCount val="5"/>
                <c:pt idx="0">
                  <c:v>Alice</c:v>
                </c:pt>
                <c:pt idx="1">
                  <c:v>Bob</c:v>
                </c:pt>
                <c:pt idx="2">
                  <c:v>Charlie</c:v>
                </c:pt>
                <c:pt idx="3">
                  <c:v>David</c:v>
                </c:pt>
                <c:pt idx="4">
                  <c:v>Eva</c:v>
                </c:pt>
              </c:strCache>
            </c:strRef>
          </c:cat>
          <c:val>
            <c:numRef>
              <c:f>[1]Sheet1!$J$2:$J$6</c:f>
              <c:numCache>
                <c:formatCode>General</c:formatCode>
                <c:ptCount val="5"/>
                <c:pt idx="0">
                  <c:v>3000</c:v>
                </c:pt>
                <c:pt idx="1">
                  <c:v>2475</c:v>
                </c:pt>
                <c:pt idx="2">
                  <c:v>2790</c:v>
                </c:pt>
                <c:pt idx="3">
                  <c:v>3200</c:v>
                </c:pt>
                <c:pt idx="4">
                  <c:v>1500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95372912"/>
        <c:axId val="-295375088"/>
      </c:barChart>
      <c:catAx>
        <c:axId val="-2953729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Resource Name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-295375088"/>
        <c:crosses val="autoZero"/>
        <c:auto val="0"/>
        <c:lblAlgn val="ctr"/>
        <c:lblOffset val="100"/>
        <c:noMultiLvlLbl val="0"/>
      </c:catAx>
      <c:valAx>
        <c:axId val="-29537508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Contribution Margin ($)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-29537291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304800</xdr:colOff>
      <xdr:row>9</xdr:row>
      <xdr:rowOff>123825</xdr:rowOff>
    </xdr:from>
    <xdr:ext cx="5400000" cy="2520000"/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P\Downloads\Contribution_Margin_Tracker_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">
          <cell r="J1" t="str">
            <v>Contribution Margin ($)</v>
          </cell>
        </row>
        <row r="2">
          <cell r="A2" t="str">
            <v>Alice</v>
          </cell>
          <cell r="J2">
            <v>3000</v>
          </cell>
        </row>
        <row r="3">
          <cell r="A3" t="str">
            <v>Bob</v>
          </cell>
          <cell r="J3">
            <v>2475</v>
          </cell>
        </row>
        <row r="4">
          <cell r="A4" t="str">
            <v>Charlie</v>
          </cell>
          <cell r="J4">
            <v>2790</v>
          </cell>
        </row>
        <row r="5">
          <cell r="A5" t="str">
            <v>David</v>
          </cell>
          <cell r="J5">
            <v>3200</v>
          </cell>
        </row>
        <row r="6">
          <cell r="A6" t="str">
            <v>Eva</v>
          </cell>
          <cell r="J6">
            <v>1500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Views>
    <sheetView topLeftCell="A16" workbookViewId="0">
      <selection activeCell="C13" sqref="C13"/>
    </sheetView>
  </sheetViews>
  <sheetFormatPr defaultRowHeight="15" x14ac:dyDescent="0.25"/>
  <cols>
    <col min="2" max="2" width="23.28515625" bestFit="1" customWidth="1"/>
    <col min="3" max="3" width="30" bestFit="1" customWidth="1"/>
    <col min="6" max="6" width="28.7109375" bestFit="1" customWidth="1"/>
    <col min="7" max="7" width="17.7109375" customWidth="1"/>
    <col min="8" max="8" width="17.85546875" customWidth="1"/>
    <col min="9" max="9" width="16.28515625" bestFit="1" customWidth="1"/>
  </cols>
  <sheetData>
    <row r="1" spans="1:9" x14ac:dyDescent="0.25">
      <c r="A1" s="1" t="s">
        <v>1</v>
      </c>
      <c r="B1" s="1" t="s">
        <v>2</v>
      </c>
      <c r="C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1">
        <v>1</v>
      </c>
      <c r="B2" s="2">
        <v>21590</v>
      </c>
      <c r="C2" s="2">
        <f>B2*2</f>
        <v>43180</v>
      </c>
      <c r="F2" s="1" t="s">
        <v>8</v>
      </c>
      <c r="G2" s="1">
        <v>1</v>
      </c>
      <c r="H2" s="1">
        <v>1</v>
      </c>
      <c r="I2" s="1">
        <v>2</v>
      </c>
    </row>
    <row r="3" spans="1:9" x14ac:dyDescent="0.25">
      <c r="A3" s="1">
        <v>2</v>
      </c>
      <c r="B3" s="2">
        <v>21590</v>
      </c>
      <c r="C3" s="2">
        <f t="shared" ref="C3:C36" si="0">B3*2</f>
        <v>43180</v>
      </c>
      <c r="F3" s="1" t="s">
        <v>9</v>
      </c>
      <c r="G3" s="1">
        <v>1</v>
      </c>
      <c r="H3" s="1">
        <v>1</v>
      </c>
      <c r="I3" s="1">
        <v>2</v>
      </c>
    </row>
    <row r="4" spans="1:9" x14ac:dyDescent="0.25">
      <c r="A4" s="1">
        <v>3</v>
      </c>
      <c r="B4" s="2">
        <v>21590</v>
      </c>
      <c r="C4" s="2">
        <f t="shared" si="0"/>
        <v>43180</v>
      </c>
      <c r="F4" s="1" t="s">
        <v>10</v>
      </c>
      <c r="G4" s="1">
        <v>2</v>
      </c>
      <c r="H4" s="1">
        <v>2</v>
      </c>
      <c r="I4" s="1">
        <v>4</v>
      </c>
    </row>
    <row r="5" spans="1:9" x14ac:dyDescent="0.25">
      <c r="A5" s="1">
        <v>4</v>
      </c>
      <c r="B5" s="2">
        <v>21590</v>
      </c>
      <c r="C5" s="2">
        <f t="shared" si="0"/>
        <v>43180</v>
      </c>
      <c r="F5" s="1" t="s">
        <v>11</v>
      </c>
      <c r="G5" s="1">
        <v>4</v>
      </c>
      <c r="H5" s="1">
        <v>4</v>
      </c>
      <c r="I5" s="1">
        <v>8</v>
      </c>
    </row>
    <row r="6" spans="1:9" x14ac:dyDescent="0.25">
      <c r="A6" s="1">
        <v>5</v>
      </c>
      <c r="B6" s="2">
        <v>21590</v>
      </c>
      <c r="C6" s="2">
        <f t="shared" si="0"/>
        <v>43180</v>
      </c>
      <c r="F6" s="1" t="s">
        <v>12</v>
      </c>
      <c r="G6" s="1">
        <v>1</v>
      </c>
      <c r="H6" s="1">
        <v>1</v>
      </c>
      <c r="I6" s="1">
        <v>2</v>
      </c>
    </row>
    <row r="7" spans="1:9" x14ac:dyDescent="0.25">
      <c r="A7" s="1">
        <v>6</v>
      </c>
      <c r="B7" s="2">
        <v>21590</v>
      </c>
      <c r="C7" s="2">
        <f t="shared" si="0"/>
        <v>43180</v>
      </c>
      <c r="F7" s="1" t="s">
        <v>13</v>
      </c>
      <c r="G7" s="1">
        <v>1</v>
      </c>
      <c r="H7" s="1">
        <v>1</v>
      </c>
      <c r="I7" s="1">
        <v>2</v>
      </c>
    </row>
    <row r="8" spans="1:9" x14ac:dyDescent="0.25">
      <c r="A8" s="1">
        <v>7</v>
      </c>
      <c r="B8" s="2">
        <v>21590</v>
      </c>
      <c r="C8" s="2">
        <f t="shared" si="0"/>
        <v>43180</v>
      </c>
      <c r="F8" s="1" t="s">
        <v>14</v>
      </c>
      <c r="G8" s="1">
        <v>2</v>
      </c>
      <c r="H8" s="1">
        <v>2</v>
      </c>
      <c r="I8" s="1">
        <v>4</v>
      </c>
    </row>
    <row r="9" spans="1:9" x14ac:dyDescent="0.25">
      <c r="A9" s="1">
        <v>8</v>
      </c>
      <c r="B9" s="2">
        <v>21590</v>
      </c>
      <c r="C9" s="2">
        <f t="shared" si="0"/>
        <v>43180</v>
      </c>
      <c r="F9" s="1" t="s">
        <v>15</v>
      </c>
      <c r="G9" s="1">
        <v>0</v>
      </c>
      <c r="H9" s="1">
        <v>1</v>
      </c>
      <c r="I9" s="1">
        <v>1</v>
      </c>
    </row>
    <row r="10" spans="1:9" x14ac:dyDescent="0.25">
      <c r="A10" s="1">
        <v>9</v>
      </c>
      <c r="B10" s="2">
        <v>21590</v>
      </c>
      <c r="C10" s="2">
        <f t="shared" si="0"/>
        <v>43180</v>
      </c>
    </row>
    <row r="11" spans="1:9" x14ac:dyDescent="0.25">
      <c r="A11" s="1">
        <v>10</v>
      </c>
      <c r="B11" s="2">
        <v>21590</v>
      </c>
      <c r="C11" s="2">
        <f t="shared" si="0"/>
        <v>43180</v>
      </c>
    </row>
    <row r="12" spans="1:9" x14ac:dyDescent="0.25">
      <c r="A12" s="1">
        <v>11</v>
      </c>
      <c r="B12" s="2">
        <v>21590</v>
      </c>
      <c r="C12" s="2">
        <f t="shared" si="0"/>
        <v>43180</v>
      </c>
    </row>
    <row r="13" spans="1:9" ht="45" x14ac:dyDescent="0.25">
      <c r="A13" s="1">
        <v>12</v>
      </c>
      <c r="B13" s="2">
        <v>21590</v>
      </c>
      <c r="C13" s="2">
        <f t="shared" si="0"/>
        <v>43180</v>
      </c>
      <c r="F13" s="3" t="s">
        <v>16</v>
      </c>
      <c r="G13" s="3" t="s">
        <v>17</v>
      </c>
      <c r="H13" s="3" t="s">
        <v>18</v>
      </c>
    </row>
    <row r="14" spans="1:9" x14ac:dyDescent="0.25">
      <c r="A14" s="1">
        <v>13</v>
      </c>
      <c r="B14" s="2">
        <v>21590</v>
      </c>
      <c r="C14" s="2">
        <f t="shared" si="0"/>
        <v>43180</v>
      </c>
      <c r="F14" s="4" t="s">
        <v>8</v>
      </c>
      <c r="G14" s="4" t="s">
        <v>19</v>
      </c>
      <c r="H14" s="5">
        <v>2170</v>
      </c>
    </row>
    <row r="15" spans="1:9" x14ac:dyDescent="0.25">
      <c r="A15" s="1">
        <v>14</v>
      </c>
      <c r="B15" s="2">
        <v>21590</v>
      </c>
      <c r="C15" s="2">
        <f t="shared" si="0"/>
        <v>43180</v>
      </c>
      <c r="F15" s="4" t="s">
        <v>9</v>
      </c>
      <c r="G15" s="4" t="s">
        <v>20</v>
      </c>
      <c r="H15" s="5">
        <v>2410</v>
      </c>
    </row>
    <row r="16" spans="1:9" x14ac:dyDescent="0.25">
      <c r="A16" s="1">
        <v>15</v>
      </c>
      <c r="B16" s="2">
        <v>21590</v>
      </c>
      <c r="C16" s="2">
        <f t="shared" si="0"/>
        <v>43180</v>
      </c>
      <c r="F16" s="4" t="s">
        <v>10</v>
      </c>
      <c r="G16" s="4" t="s">
        <v>21</v>
      </c>
      <c r="H16" s="5">
        <v>1810</v>
      </c>
    </row>
    <row r="17" spans="1:9" x14ac:dyDescent="0.25">
      <c r="A17" s="1">
        <v>16</v>
      </c>
      <c r="B17" s="2">
        <v>21590</v>
      </c>
      <c r="C17" s="2">
        <f t="shared" si="0"/>
        <v>43180</v>
      </c>
      <c r="F17" s="4" t="s">
        <v>11</v>
      </c>
      <c r="G17" s="4" t="s">
        <v>22</v>
      </c>
      <c r="H17" s="5">
        <v>1205</v>
      </c>
    </row>
    <row r="18" spans="1:9" x14ac:dyDescent="0.25">
      <c r="A18" s="1">
        <v>17</v>
      </c>
      <c r="B18" s="2">
        <v>21590</v>
      </c>
      <c r="C18" s="2">
        <f t="shared" si="0"/>
        <v>43180</v>
      </c>
      <c r="F18" s="4" t="s">
        <v>12</v>
      </c>
      <c r="G18" s="4" t="s">
        <v>22</v>
      </c>
      <c r="H18" s="5">
        <v>1205</v>
      </c>
    </row>
    <row r="19" spans="1:9" x14ac:dyDescent="0.25">
      <c r="A19" s="1">
        <v>18</v>
      </c>
      <c r="B19" s="2">
        <v>21590</v>
      </c>
      <c r="C19" s="2">
        <f t="shared" si="0"/>
        <v>43180</v>
      </c>
      <c r="F19" s="4" t="s">
        <v>13</v>
      </c>
      <c r="G19" s="4" t="s">
        <v>23</v>
      </c>
      <c r="H19" s="5">
        <v>1450</v>
      </c>
    </row>
    <row r="20" spans="1:9" x14ac:dyDescent="0.25">
      <c r="A20" s="1">
        <v>19</v>
      </c>
      <c r="B20" s="2">
        <v>21590</v>
      </c>
      <c r="C20" s="2">
        <f t="shared" si="0"/>
        <v>43180</v>
      </c>
      <c r="F20" s="4" t="s">
        <v>24</v>
      </c>
      <c r="G20" s="4" t="s">
        <v>25</v>
      </c>
      <c r="H20" s="5">
        <v>480</v>
      </c>
    </row>
    <row r="21" spans="1:9" x14ac:dyDescent="0.25">
      <c r="A21" s="1">
        <v>20</v>
      </c>
      <c r="B21" s="2">
        <v>21590</v>
      </c>
      <c r="C21" s="2">
        <f t="shared" si="0"/>
        <v>43180</v>
      </c>
      <c r="F21" s="4" t="s">
        <v>26</v>
      </c>
      <c r="G21" s="4" t="s">
        <v>27</v>
      </c>
      <c r="H21" s="5">
        <v>3010</v>
      </c>
    </row>
    <row r="22" spans="1:9" x14ac:dyDescent="0.25">
      <c r="A22" s="1">
        <v>21</v>
      </c>
      <c r="B22" s="2">
        <v>21590</v>
      </c>
      <c r="C22" s="2">
        <f t="shared" si="0"/>
        <v>43180</v>
      </c>
    </row>
    <row r="23" spans="1:9" x14ac:dyDescent="0.25">
      <c r="A23" s="1">
        <v>22</v>
      </c>
      <c r="B23" s="2">
        <v>21590</v>
      </c>
      <c r="C23" s="2">
        <f t="shared" si="0"/>
        <v>43180</v>
      </c>
    </row>
    <row r="24" spans="1:9" ht="30" x14ac:dyDescent="0.25">
      <c r="A24" s="1">
        <v>23</v>
      </c>
      <c r="B24" s="2">
        <v>21590</v>
      </c>
      <c r="C24" s="2">
        <f t="shared" si="0"/>
        <v>43180</v>
      </c>
      <c r="F24" s="6" t="s">
        <v>16</v>
      </c>
      <c r="G24" s="6" t="s">
        <v>28</v>
      </c>
      <c r="H24" s="6" t="s">
        <v>29</v>
      </c>
      <c r="I24" s="6" t="s">
        <v>30</v>
      </c>
    </row>
    <row r="25" spans="1:9" x14ac:dyDescent="0.25">
      <c r="A25" s="1">
        <v>24</v>
      </c>
      <c r="B25" s="2">
        <v>21590</v>
      </c>
      <c r="C25" s="2">
        <f t="shared" si="0"/>
        <v>43180</v>
      </c>
      <c r="F25" s="7" t="s">
        <v>8</v>
      </c>
      <c r="G25" s="8">
        <v>1085</v>
      </c>
      <c r="H25" s="7">
        <v>2</v>
      </c>
      <c r="I25" s="8">
        <v>2170</v>
      </c>
    </row>
    <row r="26" spans="1:9" x14ac:dyDescent="0.25">
      <c r="A26" s="1">
        <v>25</v>
      </c>
      <c r="B26" s="2">
        <v>21590</v>
      </c>
      <c r="C26" s="2">
        <f t="shared" si="0"/>
        <v>43180</v>
      </c>
      <c r="F26" s="7" t="s">
        <v>9</v>
      </c>
      <c r="G26" s="8">
        <v>1205</v>
      </c>
      <c r="H26" s="7">
        <v>2</v>
      </c>
      <c r="I26" s="8">
        <v>2410</v>
      </c>
    </row>
    <row r="27" spans="1:9" x14ac:dyDescent="0.25">
      <c r="A27" s="1">
        <v>26</v>
      </c>
      <c r="B27" s="2">
        <v>21590</v>
      </c>
      <c r="C27" s="2">
        <f t="shared" si="0"/>
        <v>43180</v>
      </c>
      <c r="F27" s="7" t="s">
        <v>10</v>
      </c>
      <c r="G27" s="8">
        <v>905</v>
      </c>
      <c r="H27" s="7">
        <v>4</v>
      </c>
      <c r="I27" s="8">
        <v>3620</v>
      </c>
    </row>
    <row r="28" spans="1:9" x14ac:dyDescent="0.25">
      <c r="A28" s="1">
        <v>27</v>
      </c>
      <c r="B28" s="2">
        <v>21590</v>
      </c>
      <c r="C28" s="2">
        <f t="shared" si="0"/>
        <v>43180</v>
      </c>
      <c r="F28" s="7" t="s">
        <v>11</v>
      </c>
      <c r="G28" s="8">
        <v>603</v>
      </c>
      <c r="H28" s="7">
        <v>8</v>
      </c>
      <c r="I28" s="8">
        <v>4824</v>
      </c>
    </row>
    <row r="29" spans="1:9" x14ac:dyDescent="0.25">
      <c r="A29" s="1">
        <v>28</v>
      </c>
      <c r="B29" s="2">
        <v>21590</v>
      </c>
      <c r="C29" s="2">
        <f t="shared" si="0"/>
        <v>43180</v>
      </c>
      <c r="F29" s="7" t="s">
        <v>12</v>
      </c>
      <c r="G29" s="8">
        <v>603</v>
      </c>
      <c r="H29" s="7">
        <v>2</v>
      </c>
      <c r="I29" s="8">
        <v>1206</v>
      </c>
    </row>
    <row r="30" spans="1:9" x14ac:dyDescent="0.25">
      <c r="A30" s="1">
        <v>29</v>
      </c>
      <c r="B30" s="2">
        <v>21590</v>
      </c>
      <c r="C30" s="2">
        <f t="shared" si="0"/>
        <v>43180</v>
      </c>
      <c r="F30" s="7" t="s">
        <v>13</v>
      </c>
      <c r="G30" s="8">
        <v>725</v>
      </c>
      <c r="H30" s="7">
        <v>2</v>
      </c>
      <c r="I30" s="8">
        <v>1450</v>
      </c>
    </row>
    <row r="31" spans="1:9" x14ac:dyDescent="0.25">
      <c r="A31" s="1">
        <v>30</v>
      </c>
      <c r="B31" s="2">
        <v>21590</v>
      </c>
      <c r="C31" s="2">
        <f t="shared" si="0"/>
        <v>43180</v>
      </c>
      <c r="F31" s="7" t="s">
        <v>31</v>
      </c>
      <c r="G31" s="8">
        <v>240</v>
      </c>
      <c r="H31" s="7">
        <v>4</v>
      </c>
      <c r="I31" s="8">
        <v>960</v>
      </c>
    </row>
    <row r="32" spans="1:9" x14ac:dyDescent="0.25">
      <c r="A32" s="1">
        <v>31</v>
      </c>
      <c r="B32" s="2">
        <v>21590</v>
      </c>
      <c r="C32" s="2">
        <f t="shared" si="0"/>
        <v>43180</v>
      </c>
      <c r="F32" s="7" t="s">
        <v>26</v>
      </c>
      <c r="G32" s="8">
        <v>1505</v>
      </c>
      <c r="H32" s="7">
        <v>1</v>
      </c>
      <c r="I32" s="8">
        <v>1505</v>
      </c>
    </row>
    <row r="33" spans="1:9" x14ac:dyDescent="0.25">
      <c r="A33" s="1">
        <v>32</v>
      </c>
      <c r="B33" s="2">
        <v>21590</v>
      </c>
      <c r="C33" s="2">
        <f t="shared" si="0"/>
        <v>43180</v>
      </c>
      <c r="I33" s="9">
        <f>SUM(I25:I32)</f>
        <v>18145</v>
      </c>
    </row>
    <row r="34" spans="1:9" x14ac:dyDescent="0.25">
      <c r="A34" s="1">
        <v>33</v>
      </c>
      <c r="B34" s="2">
        <v>21590</v>
      </c>
      <c r="C34" s="2">
        <f t="shared" si="0"/>
        <v>43180</v>
      </c>
    </row>
    <row r="35" spans="1:9" x14ac:dyDescent="0.25">
      <c r="A35" s="1">
        <v>34</v>
      </c>
      <c r="B35" s="2">
        <v>21590</v>
      </c>
      <c r="C35" s="2">
        <f t="shared" si="0"/>
        <v>43180</v>
      </c>
      <c r="F35" s="10" t="s">
        <v>32</v>
      </c>
      <c r="G35" s="11">
        <f>C36-I33</f>
        <v>25035</v>
      </c>
    </row>
    <row r="36" spans="1:9" x14ac:dyDescent="0.25">
      <c r="A36" s="1">
        <v>35</v>
      </c>
      <c r="B36" s="2">
        <v>21590</v>
      </c>
      <c r="C36" s="2">
        <f t="shared" si="0"/>
        <v>43180</v>
      </c>
      <c r="F36" s="10" t="s">
        <v>0</v>
      </c>
      <c r="G36" s="12">
        <f>(G35/C36)*100</f>
        <v>57.978230662343677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workbookViewId="0">
      <selection activeCell="C9" sqref="C9"/>
    </sheetView>
  </sheetViews>
  <sheetFormatPr defaultRowHeight="15" x14ac:dyDescent="0.25"/>
  <cols>
    <col min="1" max="1" width="15" bestFit="1" customWidth="1"/>
    <col min="2" max="2" width="10.28515625" bestFit="1" customWidth="1"/>
    <col min="3" max="3" width="20.7109375" bestFit="1" customWidth="1"/>
    <col min="4" max="4" width="25.85546875" bestFit="1" customWidth="1"/>
    <col min="5" max="5" width="14" bestFit="1" customWidth="1"/>
    <col min="6" max="6" width="20" bestFit="1" customWidth="1"/>
    <col min="7" max="7" width="16.7109375" bestFit="1" customWidth="1"/>
    <col min="8" max="8" width="15" bestFit="1" customWidth="1"/>
    <col min="9" max="9" width="10.85546875" bestFit="1" customWidth="1"/>
    <col min="10" max="10" width="22.28515625" bestFit="1" customWidth="1"/>
    <col min="11" max="11" width="22.85546875" bestFit="1" customWidth="1"/>
  </cols>
  <sheetData>
    <row r="1" spans="1:11" x14ac:dyDescent="0.25">
      <c r="A1" s="13" t="s">
        <v>33</v>
      </c>
      <c r="B1" s="13" t="s">
        <v>16</v>
      </c>
      <c r="C1" s="13" t="s">
        <v>34</v>
      </c>
      <c r="D1" s="13" t="s">
        <v>35</v>
      </c>
      <c r="E1" s="13" t="s">
        <v>36</v>
      </c>
      <c r="F1" s="13" t="s">
        <v>37</v>
      </c>
      <c r="G1" s="13" t="s">
        <v>38</v>
      </c>
      <c r="H1" s="13" t="s">
        <v>39</v>
      </c>
      <c r="I1" s="13" t="s">
        <v>40</v>
      </c>
      <c r="J1" s="13" t="s">
        <v>41</v>
      </c>
      <c r="K1" s="13" t="s">
        <v>42</v>
      </c>
    </row>
    <row r="2" spans="1:11" x14ac:dyDescent="0.25">
      <c r="A2" t="s">
        <v>43</v>
      </c>
      <c r="B2" t="s">
        <v>44</v>
      </c>
      <c r="C2">
        <v>50</v>
      </c>
      <c r="D2">
        <v>30</v>
      </c>
      <c r="E2">
        <v>160</v>
      </c>
      <c r="F2">
        <v>150</v>
      </c>
      <c r="G2">
        <v>8000</v>
      </c>
      <c r="H2">
        <v>7500</v>
      </c>
      <c r="I2">
        <v>4500</v>
      </c>
      <c r="J2">
        <v>3000</v>
      </c>
      <c r="K2">
        <v>40</v>
      </c>
    </row>
    <row r="3" spans="1:11" x14ac:dyDescent="0.25">
      <c r="A3" t="s">
        <v>45</v>
      </c>
      <c r="B3" t="s">
        <v>46</v>
      </c>
      <c r="C3">
        <v>40</v>
      </c>
      <c r="D3">
        <v>25</v>
      </c>
      <c r="E3">
        <v>160</v>
      </c>
      <c r="F3">
        <v>165</v>
      </c>
      <c r="G3">
        <v>6400</v>
      </c>
      <c r="H3">
        <v>6600</v>
      </c>
      <c r="I3">
        <v>4125</v>
      </c>
      <c r="J3">
        <v>2475</v>
      </c>
      <c r="K3">
        <v>37.5</v>
      </c>
    </row>
    <row r="4" spans="1:11" x14ac:dyDescent="0.25">
      <c r="A4" t="s">
        <v>47</v>
      </c>
      <c r="B4" t="s">
        <v>44</v>
      </c>
      <c r="C4">
        <v>50</v>
      </c>
      <c r="D4">
        <v>32</v>
      </c>
      <c r="E4">
        <v>160</v>
      </c>
      <c r="F4">
        <v>155</v>
      </c>
      <c r="G4">
        <v>8000</v>
      </c>
      <c r="H4">
        <v>7750</v>
      </c>
      <c r="I4">
        <v>4960</v>
      </c>
      <c r="J4">
        <v>2790</v>
      </c>
      <c r="K4">
        <v>36</v>
      </c>
    </row>
    <row r="5" spans="1:11" x14ac:dyDescent="0.25">
      <c r="A5" t="s">
        <v>48</v>
      </c>
      <c r="B5" t="s">
        <v>49</v>
      </c>
      <c r="C5">
        <v>70</v>
      </c>
      <c r="D5">
        <v>50</v>
      </c>
      <c r="E5">
        <v>160</v>
      </c>
      <c r="F5">
        <v>160</v>
      </c>
      <c r="G5">
        <v>11200</v>
      </c>
      <c r="H5">
        <v>11200</v>
      </c>
      <c r="I5">
        <v>8000</v>
      </c>
      <c r="J5">
        <v>3200</v>
      </c>
      <c r="K5">
        <v>28.571428571428569</v>
      </c>
    </row>
    <row r="6" spans="1:11" x14ac:dyDescent="0.25">
      <c r="A6" t="s">
        <v>50</v>
      </c>
      <c r="B6" t="s">
        <v>51</v>
      </c>
      <c r="C6">
        <v>30</v>
      </c>
      <c r="D6">
        <v>20</v>
      </c>
      <c r="E6">
        <v>160</v>
      </c>
      <c r="F6">
        <v>150</v>
      </c>
      <c r="G6">
        <v>4800</v>
      </c>
      <c r="H6">
        <v>4500</v>
      </c>
      <c r="I6">
        <v>3000</v>
      </c>
      <c r="J6">
        <v>1500</v>
      </c>
      <c r="K6">
        <v>33.333333333333329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>
      <selection activeCell="A7" sqref="A7"/>
    </sheetView>
  </sheetViews>
  <sheetFormatPr defaultRowHeight="15" x14ac:dyDescent="0.25"/>
  <cols>
    <col min="1" max="1" width="35.28515625" bestFit="1" customWidth="1"/>
    <col min="2" max="2" width="20" bestFit="1" customWidth="1"/>
    <col min="3" max="3" width="18.5703125" bestFit="1" customWidth="1"/>
  </cols>
  <sheetData>
    <row r="1" spans="1:3" x14ac:dyDescent="0.25">
      <c r="A1" s="1" t="s">
        <v>52</v>
      </c>
      <c r="B1" s="1" t="s">
        <v>54</v>
      </c>
      <c r="C1" s="1" t="s">
        <v>55</v>
      </c>
    </row>
    <row r="2" spans="1:3" x14ac:dyDescent="0.25">
      <c r="A2" s="1" t="s">
        <v>53</v>
      </c>
      <c r="B2" s="1">
        <v>10</v>
      </c>
      <c r="C2" s="1">
        <v>10</v>
      </c>
    </row>
    <row r="3" spans="1:3" x14ac:dyDescent="0.25">
      <c r="A3" s="1" t="s">
        <v>56</v>
      </c>
      <c r="B3" s="1">
        <v>43180</v>
      </c>
      <c r="C3" s="1">
        <v>43180</v>
      </c>
    </row>
    <row r="4" spans="1:3" x14ac:dyDescent="0.25">
      <c r="A4" s="1" t="s">
        <v>57</v>
      </c>
      <c r="B4" s="1">
        <f>B3*B2</f>
        <v>431800</v>
      </c>
      <c r="C4" s="1">
        <f>C3*C2</f>
        <v>431800</v>
      </c>
    </row>
    <row r="5" spans="1:3" x14ac:dyDescent="0.25">
      <c r="A5" s="1" t="s">
        <v>58</v>
      </c>
      <c r="B5" s="1">
        <v>18145</v>
      </c>
      <c r="C5" s="1">
        <v>20000</v>
      </c>
    </row>
    <row r="6" spans="1:3" x14ac:dyDescent="0.25">
      <c r="A6" s="1" t="s">
        <v>59</v>
      </c>
      <c r="B6" s="1">
        <f>B5*B2</f>
        <v>181450</v>
      </c>
      <c r="C6" s="1">
        <f>C5*C2</f>
        <v>200000</v>
      </c>
    </row>
    <row r="7" spans="1:3" x14ac:dyDescent="0.25">
      <c r="A7" s="1" t="s">
        <v>60</v>
      </c>
      <c r="B7" s="1">
        <f>B4-B6</f>
        <v>250350</v>
      </c>
      <c r="C7" s="1">
        <f>C4-C6</f>
        <v>231800</v>
      </c>
    </row>
    <row r="8" spans="1:3" x14ac:dyDescent="0.25">
      <c r="A8" s="12" t="s">
        <v>61</v>
      </c>
      <c r="B8" s="12">
        <f>C7-B7</f>
        <v>-18550</v>
      </c>
      <c r="C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Contribution_Margin</vt:lpstr>
      <vt:lpstr>Sheet2</vt:lpstr>
      <vt:lpstr>Contribution_delta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2025-04-25T15:42:09Z</dcterms:modified>
</cp:coreProperties>
</file>